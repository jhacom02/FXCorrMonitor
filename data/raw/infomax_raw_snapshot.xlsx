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ycode\FXCorrMonitor\data\raw\"/>
    </mc:Choice>
  </mc:AlternateContent>
  <bookViews>
    <workbookView xWindow="0" yWindow="0" windowWidth="12780" windowHeight="89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  <c r="E6" i="1"/>
  <c r="E5" i="1"/>
  <c r="E4" i="1"/>
  <c r="D3" i="1"/>
  <c r="H17" i="1"/>
  <c r="H16" i="1"/>
  <c r="G15" i="1"/>
  <c r="G14" i="1"/>
  <c r="D12" i="1"/>
  <c r="D11" i="1"/>
  <c r="D10" i="1"/>
  <c r="F8" i="1"/>
  <c r="E7" i="1"/>
  <c r="D13" i="1"/>
  <c r="D9" i="1"/>
  <c r="D8" i="1"/>
</calcChain>
</file>

<file path=xl/sharedStrings.xml><?xml version="1.0" encoding="utf-8"?>
<sst xmlns="http://schemas.openxmlformats.org/spreadsheetml/2006/main" count="113" uniqueCount="44">
  <si>
    <t>일자</t>
  </si>
  <si>
    <t>현재가</t>
  </si>
  <si>
    <t>KR_MID_Close</t>
  </si>
  <si>
    <t>외국인순매수금액</t>
  </si>
  <si>
    <t>MID_Close</t>
  </si>
  <si>
    <t>대표수익률</t>
  </si>
  <si>
    <t>종목명</t>
  </si>
  <si>
    <t>구분</t>
  </si>
  <si>
    <t>코드</t>
  </si>
  <si>
    <t>서울외환(기업용) USDKRW 스팟</t>
  </si>
  <si>
    <t>FX</t>
  </si>
  <si>
    <t>USDSP_SMBCC_EXT</t>
  </si>
  <si>
    <t>달러인덱스 Dollars</t>
  </si>
  <si>
    <t>DOLLAR</t>
  </si>
  <si>
    <t>이종통화 종합 JPY</t>
  </si>
  <si>
    <t>USDJPY</t>
  </si>
  <si>
    <t>이종통화 종합 CNH</t>
  </si>
  <si>
    <t>USDCNH</t>
  </si>
  <si>
    <t>이종통화 종합 EUR</t>
  </si>
  <si>
    <t>EURUSD</t>
  </si>
  <si>
    <t>KOSPI</t>
  </si>
  <si>
    <t>IDX</t>
  </si>
  <si>
    <t>001</t>
  </si>
  <si>
    <t>S&amp;P 500</t>
  </si>
  <si>
    <t>FRN</t>
  </si>
  <si>
    <t>SPI:SPX</t>
  </si>
  <si>
    <t>나스닥 100</t>
  </si>
  <si>
    <t>NAS:NDX</t>
  </si>
  <si>
    <t>VOLATILITY S&amp;P500</t>
  </si>
  <si>
    <t>CBI:VIX</t>
  </si>
  <si>
    <t>WTI 2026-9 (연결선물)</t>
  </si>
  <si>
    <t>NYM:CL</t>
  </si>
  <si>
    <t>금 2026-12 (연결선물)</t>
  </si>
  <si>
    <t>COM:GC</t>
  </si>
  <si>
    <t>미국(종합) 2년</t>
  </si>
  <si>
    <t>IR</t>
  </si>
  <si>
    <t>US02Y</t>
  </si>
  <si>
    <t>미국(종합) 10년</t>
  </si>
  <si>
    <t>US10Y</t>
  </si>
  <si>
    <t>금투협 최종호가 국고채권(3년)</t>
  </si>
  <si>
    <t>BONDKSDCAL11</t>
  </si>
  <si>
    <t>금투협 최종호가 국고채권(10년)</t>
  </si>
  <si>
    <t>BONDKSDCAL13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</si>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</sst>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rgb="FFDAE5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49" fontId="0" fillId="3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 t="s">
        <v>...</v>
        <stp/>
        <stp>P</stp>
        <stp>0</stp>
        <stp>FX</stp>
        <stp>USDJPY</stp>
        <stp>KR_MID_Close</stp>
        <stp>46244</stp>
        <stp/>
        <tr r="E5" s="1"/>
      </tp>
      <tp t="s">
        <v>...</v>
        <stp/>
        <stp>P</stp>
        <stp>0</stp>
        <stp>FX</stp>
        <stp>DOLLAR</stp>
        <stp>KR_MID_Close</stp>
        <stp>46244</stp>
        <stp/>
        <tr r="E4" s="1"/>
      </tp>
      <tp>
        <v>6.7449000000000003</v>
        <stp/>
        <stp>P</stp>
        <stp>0</stp>
        <stp>FX</stp>
        <stp>USDCNH</stp>
        <stp>KR_MID_Close</stp>
        <stp>46244</stp>
        <stp/>
        <tr r="E6" s="1"/>
      </tp>
      <tp t="s">
        <v>...</v>
        <stp/>
        <stp>P</stp>
        <stp>0</stp>
        <stp>FX</stp>
        <stp>EURUSD</stp>
        <stp>KR_MID_Close</stp>
        <stp>46244</stp>
        <stp/>
        <tr r="E7" s="1"/>
      </tp>
      <tp t="s">
        <v>...</v>
        <stp/>
        <stp>P</stp>
        <stp>0</stp>
        <stp>IR</stp>
        <stp>US02Y</stp>
        <stp>MID_Close</stp>
        <stp>46244</stp>
        <stp/>
        <tr r="G14" s="1"/>
      </tp>
      <tp t="s">
        <v>...</v>
        <stp/>
        <stp>P</stp>
        <stp>0</stp>
        <stp>IR</stp>
        <stp>US10Y</stp>
        <stp>MID_Close</stp>
        <stp>46244</stp>
        <stp/>
        <tr r="G15" s="1"/>
      </tp>
      <tp t="s">
        <v>...</v>
        <stp/>
        <stp>P</stp>
        <stp>0</stp>
        <stp>IDX</stp>
        <stp>001</stp>
        <stp>현재가</stp>
        <stp>46244</stp>
        <stp/>
        <tr r="D8" s="1"/>
      </tp>
      <tp t="s">
        <v>...</v>
        <stp/>
        <stp>P</stp>
        <stp>0</stp>
        <stp>FRN</stp>
        <stp>NYM:CL</stp>
        <stp>현재가</stp>
        <stp>46244</stp>
        <stp/>
        <tr r="D12" s="1"/>
      </tp>
      <tp t="s">
        <v>...</v>
        <stp/>
        <stp>P</stp>
        <stp>0</stp>
        <stp>FRN</stp>
        <stp>COM:GC</stp>
        <stp>현재가</stp>
        <stp>46244</stp>
        <stp/>
        <tr r="D13" s="1"/>
      </tp>
      <tp t="s">
        <v>...</v>
        <stp/>
        <stp>P</stp>
        <stp>0</stp>
        <stp>FRN</stp>
        <stp>NAS:NDX</stp>
        <stp>현재가</stp>
        <stp>46244</stp>
        <stp/>
        <tr r="D10" s="1"/>
      </tp>
      <tp t="s">
        <v>...</v>
        <stp/>
        <stp>P</stp>
        <stp>0</stp>
        <stp>FRN</stp>
        <stp>SPI:SPX</stp>
        <stp>현재가</stp>
        <stp>46244</stp>
        <stp/>
        <tr r="D9" s="1"/>
      </tp>
      <tp t="s">
        <v>...</v>
        <stp/>
        <stp>P</stp>
        <stp>0</stp>
        <stp>FRN</stp>
        <stp>CBI:VIX</stp>
        <stp>현재가</stp>
        <stp>46244</stp>
        <stp/>
        <tr r="D11" s="1"/>
      </tp>
      <tp t="s">
        <v>...</v>
        <stp/>
        <stp>P</stp>
        <stp>0</stp>
        <stp>IDX</stp>
        <stp>001</stp>
        <stp>외국인순매수금액</stp>
        <stp>46244</stp>
        <stp/>
        <tr r="F8" s="1"/>
      </tp>
      <tp t="s">
        <v>...</v>
        <stp/>
        <stp>P</stp>
        <stp>0</stp>
        <stp>IR</stp>
        <stp>BONDKSDCAL13</stp>
        <stp>대표수익률</stp>
        <stp>46244</stp>
        <stp/>
        <tr r="H17" s="1"/>
      </tp>
      <tp t="s">
        <v>...</v>
        <stp/>
        <stp>P</stp>
        <stp>0</stp>
        <stp>IR</stp>
        <stp>BONDKSDCAL11</stp>
        <stp>대표수익률</stp>
        <stp>46244</stp>
        <stp/>
        <tr r="H16" s="1"/>
      </tp>
      <tp t="s">
        <v>...</v>
        <stp/>
        <stp>P</stp>
        <stp>0</stp>
        <stp>FX</stp>
        <stp>USDSP_SMBCC_EXT</stp>
        <stp>현재가</stp>
        <stp>46244</stp>
        <stp/>
        <tr r="D3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B2" sqref="B2"/>
    </sheetView>
  </sheetViews>
  <sheetFormatPr defaultRowHeight="16.5" x14ac:dyDescent="0.3"/>
  <cols>
    <col min="1" max="1" width="30.625" bestFit="1" customWidth="1"/>
    <col min="2" max="2" width="11.125" bestFit="1" customWidth="1"/>
    <col min="3" max="3" width="19.25" bestFit="1" customWidth="1"/>
  </cols>
  <sheetData>
    <row r="1" spans="1:8" x14ac:dyDescent="0.3">
      <c r="A1" s="1" t="s">
        <v>0</v>
      </c>
      <c r="B1" s="2">
        <f ca="1">TODAY()</f>
        <v>46244</v>
      </c>
    </row>
    <row r="2" spans="1:8" x14ac:dyDescent="0.3">
      <c r="A2" s="3" t="s">
        <v>6</v>
      </c>
      <c r="B2" s="3" t="s">
        <v>7</v>
      </c>
      <c r="C2" s="3" t="s">
        <v>8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</row>
    <row r="3" spans="1:8" x14ac:dyDescent="0.3">
      <c r="A3" s="3" t="s">
        <v>9</v>
      </c>
      <c r="B3" s="3" t="s">
        <v>10</v>
      </c>
      <c r="C3" s="3" t="s">
        <v>11</v>
      </c>
      <c r="D3" t="str">
        <f ca="1">_xll.IMDP($B3,$C3,D$2,$B$1)</f>
        <v>...</v>
      </c>
      <c r="E3" t="s">
        <v>43</v>
      </c>
      <c r="F3" t="s">
        <v>43</v>
      </c>
      <c r="G3" t="s">
        <v>43</v>
      </c>
      <c r="H3" t="s">
        <v>43</v>
      </c>
    </row>
    <row r="4" spans="1:8" x14ac:dyDescent="0.3">
      <c r="A4" s="3" t="s">
        <v>12</v>
      </c>
      <c r="B4" s="3" t="s">
        <v>10</v>
      </c>
      <c r="C4" s="3" t="s">
        <v>13</v>
      </c>
      <c r="D4" t="s">
        <v>43</v>
      </c>
      <c r="E4" t="str">
        <f ca="1">_xll.IMDP($B4,$C4,E$2,$B$1)</f>
        <v>...</v>
      </c>
      <c r="F4" t="s">
        <v>43</v>
      </c>
      <c r="G4" t="s">
        <v>43</v>
      </c>
      <c r="H4" t="s">
        <v>43</v>
      </c>
    </row>
    <row r="5" spans="1:8" x14ac:dyDescent="0.3">
      <c r="A5" s="3" t="s">
        <v>14</v>
      </c>
      <c r="B5" s="3" t="s">
        <v>10</v>
      </c>
      <c r="C5" s="3" t="s">
        <v>15</v>
      </c>
      <c r="D5" t="s">
        <v>43</v>
      </c>
      <c r="E5" t="str">
        <f ca="1">_xll.IMDP($B5,$C5,E$2,$B$1)</f>
        <v>...</v>
      </c>
      <c r="F5" t="s">
        <v>43</v>
      </c>
      <c r="G5" t="s">
        <v>43</v>
      </c>
      <c r="H5" t="s">
        <v>43</v>
      </c>
    </row>
    <row r="6" spans="1:8" x14ac:dyDescent="0.3">
      <c r="A6" s="3" t="s">
        <v>16</v>
      </c>
      <c r="B6" s="3" t="s">
        <v>10</v>
      </c>
      <c r="C6" s="3" t="s">
        <v>17</v>
      </c>
      <c r="D6" t="s">
        <v>43</v>
      </c>
      <c r="E6">
        <f ca="1">_xll.IMDP($B6,$C6,E$2,$B$1)</f>
        <v>6.7449000000000003</v>
      </c>
      <c r="F6" t="s">
        <v>43</v>
      </c>
      <c r="G6" t="s">
        <v>43</v>
      </c>
      <c r="H6" t="s">
        <v>43</v>
      </c>
    </row>
    <row r="7" spans="1:8" x14ac:dyDescent="0.3">
      <c r="A7" s="3" t="s">
        <v>18</v>
      </c>
      <c r="B7" s="3" t="s">
        <v>10</v>
      </c>
      <c r="C7" s="3" t="s">
        <v>19</v>
      </c>
      <c r="D7" t="s">
        <v>43</v>
      </c>
      <c r="E7" t="str">
        <f ca="1">_xll.IMDP($B7,$C7,E$2,$B$1)</f>
        <v>...</v>
      </c>
      <c r="F7" t="s">
        <v>43</v>
      </c>
      <c r="G7" t="s">
        <v>43</v>
      </c>
      <c r="H7" t="s">
        <v>43</v>
      </c>
    </row>
    <row r="8" spans="1:8" x14ac:dyDescent="0.3">
      <c r="A8" s="3" t="s">
        <v>20</v>
      </c>
      <c r="B8" s="3" t="s">
        <v>21</v>
      </c>
      <c r="C8" s="3" t="s">
        <v>22</v>
      </c>
      <c r="D8" t="str">
        <f ca="1">_xll.IMDP($B8,$C8,D$2,$B$1)</f>
        <v>...</v>
      </c>
      <c r="E8" t="s">
        <v>43</v>
      </c>
      <c r="F8" t="str">
        <f ca="1">_xll.IMDP($B8,$C8,F$2,$B$1)</f>
        <v>...</v>
      </c>
      <c r="G8" t="s">
        <v>43</v>
      </c>
      <c r="H8" t="s">
        <v>43</v>
      </c>
    </row>
    <row r="9" spans="1:8" x14ac:dyDescent="0.3">
      <c r="A9" s="3" t="s">
        <v>23</v>
      </c>
      <c r="B9" s="3" t="s">
        <v>24</v>
      </c>
      <c r="C9" s="3" t="s">
        <v>25</v>
      </c>
      <c r="D9" t="str">
        <f ca="1">_xll.IMDP($B9,$C9,D$2,$B$1)</f>
        <v>...</v>
      </c>
      <c r="E9" t="s">
        <v>43</v>
      </c>
      <c r="F9" t="s">
        <v>43</v>
      </c>
      <c r="G9" t="s">
        <v>43</v>
      </c>
      <c r="H9" t="s">
        <v>43</v>
      </c>
    </row>
    <row r="10" spans="1:8" x14ac:dyDescent="0.3">
      <c r="A10" s="3" t="s">
        <v>26</v>
      </c>
      <c r="B10" s="3" t="s">
        <v>24</v>
      </c>
      <c r="C10" s="3" t="s">
        <v>27</v>
      </c>
      <c r="D10" t="str">
        <f ca="1">_xll.IMDP($B10,$C10,D$2,$B$1)</f>
        <v>...</v>
      </c>
      <c r="E10" t="s">
        <v>43</v>
      </c>
      <c r="F10" t="s">
        <v>43</v>
      </c>
      <c r="G10" t="s">
        <v>43</v>
      </c>
      <c r="H10" t="s">
        <v>43</v>
      </c>
    </row>
    <row r="11" spans="1:8" x14ac:dyDescent="0.3">
      <c r="A11" s="3" t="s">
        <v>28</v>
      </c>
      <c r="B11" s="3" t="s">
        <v>24</v>
      </c>
      <c r="C11" s="3" t="s">
        <v>29</v>
      </c>
      <c r="D11" t="str">
        <f ca="1">_xll.IMDP($B11,$C11,D$2,$B$1)</f>
        <v>...</v>
      </c>
      <c r="E11" t="s">
        <v>43</v>
      </c>
      <c r="F11" t="s">
        <v>43</v>
      </c>
      <c r="G11" t="s">
        <v>43</v>
      </c>
      <c r="H11" t="s">
        <v>43</v>
      </c>
    </row>
    <row r="12" spans="1:8" x14ac:dyDescent="0.3">
      <c r="A12" s="3" t="s">
        <v>30</v>
      </c>
      <c r="B12" s="3" t="s">
        <v>24</v>
      </c>
      <c r="C12" s="3" t="s">
        <v>31</v>
      </c>
      <c r="D12" t="str">
        <f ca="1">_xll.IMDP($B12,$C12,D$2,$B$1)</f>
        <v>...</v>
      </c>
      <c r="E12" t="s">
        <v>43</v>
      </c>
      <c r="F12" t="s">
        <v>43</v>
      </c>
      <c r="G12" t="s">
        <v>43</v>
      </c>
      <c r="H12" t="s">
        <v>43</v>
      </c>
    </row>
    <row r="13" spans="1:8" x14ac:dyDescent="0.3">
      <c r="A13" s="3" t="s">
        <v>32</v>
      </c>
      <c r="B13" s="3" t="s">
        <v>24</v>
      </c>
      <c r="C13" s="3" t="s">
        <v>33</v>
      </c>
      <c r="D13" t="str">
        <f ca="1">_xll.IMDP($B13,$C13,D$2,$B$1)</f>
        <v>...</v>
      </c>
      <c r="E13" t="s">
        <v>43</v>
      </c>
      <c r="F13" t="s">
        <v>43</v>
      </c>
      <c r="G13" t="s">
        <v>43</v>
      </c>
      <c r="H13" t="s">
        <v>43</v>
      </c>
    </row>
    <row r="14" spans="1:8" x14ac:dyDescent="0.3">
      <c r="A14" s="3" t="s">
        <v>34</v>
      </c>
      <c r="B14" s="3" t="s">
        <v>35</v>
      </c>
      <c r="C14" s="3" t="s">
        <v>36</v>
      </c>
      <c r="D14" t="s">
        <v>43</v>
      </c>
      <c r="E14" t="s">
        <v>43</v>
      </c>
      <c r="F14" t="s">
        <v>43</v>
      </c>
      <c r="G14" t="str">
        <f ca="1">_xll.IMDP($B14,$C14,G$2,$B$1)</f>
        <v>...</v>
      </c>
      <c r="H14" t="s">
        <v>43</v>
      </c>
    </row>
    <row r="15" spans="1:8" x14ac:dyDescent="0.3">
      <c r="A15" s="3" t="s">
        <v>37</v>
      </c>
      <c r="B15" s="3" t="s">
        <v>35</v>
      </c>
      <c r="C15" s="3" t="s">
        <v>38</v>
      </c>
      <c r="D15" t="s">
        <v>43</v>
      </c>
      <c r="E15" t="s">
        <v>43</v>
      </c>
      <c r="F15" t="s">
        <v>43</v>
      </c>
      <c r="G15" t="str">
        <f ca="1">_xll.IMDP($B15,$C15,G$2,$B$1)</f>
        <v>...</v>
      </c>
      <c r="H15" t="s">
        <v>43</v>
      </c>
    </row>
    <row r="16" spans="1:8" x14ac:dyDescent="0.3">
      <c r="A16" s="3" t="s">
        <v>39</v>
      </c>
      <c r="B16" s="3" t="s">
        <v>35</v>
      </c>
      <c r="C16" s="3" t="s">
        <v>40</v>
      </c>
      <c r="D16" t="s">
        <v>43</v>
      </c>
      <c r="E16" t="s">
        <v>43</v>
      </c>
      <c r="F16" t="s">
        <v>43</v>
      </c>
      <c r="G16" t="s">
        <v>43</v>
      </c>
      <c r="H16" t="str">
        <f ca="1">_xll.IMDP($B16,$C16,H$2,$B$1)</f>
        <v>...</v>
      </c>
    </row>
    <row r="17" spans="1:8" x14ac:dyDescent="0.3">
      <c r="A17" s="3" t="s">
        <v>41</v>
      </c>
      <c r="B17" s="3" t="s">
        <v>35</v>
      </c>
      <c r="C17" s="3" t="s">
        <v>42</v>
      </c>
      <c r="D17" t="s">
        <v>43</v>
      </c>
      <c r="E17" t="s">
        <v>43</v>
      </c>
      <c r="F17" t="s">
        <v>43</v>
      </c>
      <c r="G17" t="s">
        <v>43</v>
      </c>
      <c r="H17" t="str">
        <f ca="1">_xll.IMDP($B17,$C17,H$2,$B$1)</f>
        <v>...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2026-08-10T04:49:43Z</dcterms:created>
  <dcterms:modified xsi:type="dcterms:W3CDTF">2026-08-10T05:42:28Z</dcterms:modified>
</cp:coreProperties>
</file>